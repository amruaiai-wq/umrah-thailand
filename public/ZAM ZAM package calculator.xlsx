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" sheetId="1" r:id="rId5"/>
    <sheet state="visible" name="Price List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<sst xmlns="http://schemas.openxmlformats.org/spreadsheetml/2006/main" count="154" uniqueCount="125">
  <si>
    <t>🕌 Zam Zam Travel Package Calculator</t>
  </si>
  <si>
    <t>📅 ข้อมูลทริป</t>
  </si>
  <si>
    <t>วันที่เดินทาง</t>
  </si>
  <si>
    <t>วันที่กลับ</t>
  </si>
  <si>
    <t>จำนวนวัน</t>
  </si>
  <si>
    <t>จำนวนคืน</t>
  </si>
  <si>
    <t>จำนวนผู้เดินทาง</t>
  </si>
  <si>
    <t>รายการ</t>
  </si>
  <si>
    <t>ตัวเลือก</t>
  </si>
  <si>
    <t>จำนวน</t>
  </si>
  <si>
    <r>
      <rPr>
        <rFont val="FreeSans"/>
        <b/>
        <color rgb="FFFFFFFF"/>
        <sz val="14.0"/>
      </rPr>
      <t>ราคา</t>
    </r>
    <r>
      <rPr>
        <rFont val="Cambria"/>
        <b/>
        <color rgb="FFFFFFFF"/>
        <sz val="14.0"/>
      </rPr>
      <t>/</t>
    </r>
    <r>
      <rPr>
        <rFont val="FreeSans"/>
        <b/>
        <color rgb="FFFFFFFF"/>
        <sz val="14.0"/>
      </rPr>
      <t>หน่วย</t>
    </r>
  </si>
  <si>
    <r>
      <rPr>
        <rFont val="FreeSans"/>
        <b/>
        <color rgb="FFFFFFFF"/>
        <sz val="14.0"/>
      </rPr>
      <t xml:space="preserve">รวม </t>
    </r>
    <r>
      <rPr>
        <rFont val="Cambria"/>
        <b/>
        <color rgb="FFFFFFFF"/>
        <sz val="14.0"/>
      </rPr>
      <t>(</t>
    </r>
    <r>
      <rPr>
        <rFont val="FreeSans"/>
        <b/>
        <color rgb="FFFFFFFF"/>
        <sz val="14.0"/>
      </rPr>
      <t>บาท</t>
    </r>
    <r>
      <rPr>
        <rFont val="Cambria"/>
        <b/>
        <color rgb="FFFFFFFF"/>
        <sz val="14.0"/>
      </rPr>
      <t>)</t>
    </r>
  </si>
  <si>
    <t>หมายเหตุ</t>
  </si>
  <si>
    <t>✈️ ตั๋วเครื่องบิน</t>
  </si>
  <si>
    <t>Gulf Air</t>
  </si>
  <si>
    <r>
      <rPr>
        <rFont val="FreeSans"/>
        <color theme="1"/>
        <sz val="11.0"/>
      </rPr>
      <t>ไป</t>
    </r>
    <r>
      <rPr>
        <rFont val="Calibri"/>
        <color theme="1"/>
        <sz val="11.0"/>
      </rPr>
      <t>-</t>
    </r>
    <r>
      <rPr>
        <rFont val="FreeSans"/>
        <color theme="1"/>
        <sz val="11.0"/>
      </rPr>
      <t>กลับ</t>
    </r>
  </si>
  <si>
    <t>📋 วีซ่า</t>
  </si>
  <si>
    <t>อุมเราะห์</t>
  </si>
  <si>
    <r>
      <rPr>
        <rFont val="FreeSans"/>
        <color theme="1"/>
        <sz val="11.0"/>
      </rPr>
      <t>🏨 รร</t>
    </r>
    <r>
      <rPr>
        <rFont val="Calibri"/>
        <color theme="1"/>
        <sz val="11.0"/>
      </rPr>
      <t xml:space="preserve">. </t>
    </r>
    <r>
      <rPr>
        <rFont val="FreeSans"/>
        <color theme="1"/>
        <sz val="11.0"/>
      </rPr>
      <t>มักกะห์</t>
    </r>
  </si>
  <si>
    <r>
      <rPr>
        <rFont val="Calibri"/>
        <color theme="1"/>
        <sz val="11.0"/>
      </rPr>
      <t xml:space="preserve">3 </t>
    </r>
    <r>
      <rPr>
        <rFont val="FreeSans"/>
        <color theme="1"/>
        <sz val="11.0"/>
      </rPr>
      <t>ดาว</t>
    </r>
  </si>
  <si>
    <t>คืน</t>
  </si>
  <si>
    <r>
      <rPr>
        <rFont val="FreeSans"/>
        <color theme="1"/>
        <sz val="11.0"/>
      </rPr>
      <t>🏨 รร</t>
    </r>
    <r>
      <rPr>
        <rFont val="Calibri"/>
        <color theme="1"/>
        <sz val="11.0"/>
      </rPr>
      <t xml:space="preserve">. </t>
    </r>
    <r>
      <rPr>
        <rFont val="FreeSans"/>
        <color theme="1"/>
        <sz val="11.0"/>
      </rPr>
      <t>มาดีนะห์</t>
    </r>
  </si>
  <si>
    <r>
      <rPr>
        <rFont val="Calibri"/>
        <color theme="1"/>
        <sz val="11.0"/>
      </rPr>
      <t xml:space="preserve">3 </t>
    </r>
    <r>
      <rPr>
        <rFont val="FreeSans"/>
        <color theme="1"/>
        <sz val="11.0"/>
      </rPr>
      <t>ดาว</t>
    </r>
  </si>
  <si>
    <r>
      <rPr>
        <rFont val="FreeSans"/>
        <color theme="1"/>
        <sz val="11.0"/>
      </rPr>
      <t>🏨 รร</t>
    </r>
    <r>
      <rPr>
        <rFont val="Calibri"/>
        <color theme="1"/>
        <sz val="11.0"/>
      </rPr>
      <t xml:space="preserve">. </t>
    </r>
    <r>
      <rPr>
        <rFont val="FreeSans"/>
        <color theme="1"/>
        <sz val="11.0"/>
      </rPr>
      <t>เจดดะห์</t>
    </r>
  </si>
  <si>
    <r>
      <rPr>
        <rFont val="Calibri"/>
        <color theme="1"/>
        <sz val="11.0"/>
      </rPr>
      <t xml:space="preserve">4 </t>
    </r>
    <r>
      <rPr>
        <rFont val="FreeSans"/>
        <color theme="1"/>
        <sz val="11.0"/>
      </rPr>
      <t>ดาว</t>
    </r>
  </si>
  <si>
    <r>
      <rPr>
        <rFont val="FreeSans"/>
        <color theme="1"/>
        <sz val="11.0"/>
      </rPr>
      <t>🏨 รร</t>
    </r>
    <r>
      <rPr>
        <rFont val="Calibri"/>
        <color theme="1"/>
        <sz val="11.0"/>
      </rPr>
      <t xml:space="preserve">. </t>
    </r>
    <r>
      <rPr>
        <rFont val="FreeSans"/>
        <color theme="1"/>
        <sz val="11.0"/>
      </rPr>
      <t>ริยาด</t>
    </r>
  </si>
  <si>
    <r>
      <rPr>
        <rFont val="Calibri"/>
        <color theme="1"/>
        <sz val="11.0"/>
      </rPr>
      <t xml:space="preserve">4 </t>
    </r>
    <r>
      <rPr>
        <rFont val="FreeSans"/>
        <color theme="1"/>
        <sz val="11.0"/>
      </rPr>
      <t>ดาว</t>
    </r>
  </si>
  <si>
    <t xml:space="preserve">  รวมค่าโรงแรม</t>
  </si>
  <si>
    <t>🚐 รถ</t>
  </si>
  <si>
    <r>
      <rPr>
        <rFont val="FreeSans"/>
        <color theme="1"/>
        <sz val="11.0"/>
      </rPr>
      <t xml:space="preserve">รถตู้ </t>
    </r>
    <r>
      <rPr>
        <rFont val="Calibri"/>
        <color theme="1"/>
        <sz val="11.0"/>
      </rPr>
      <t>VIP</t>
    </r>
  </si>
  <si>
    <t>วัน</t>
  </si>
  <si>
    <t>👨‍🏫 ไกด์</t>
  </si>
  <si>
    <t>ฟูลทริป</t>
  </si>
  <si>
    <t>🍽️ อาหาร</t>
  </si>
  <si>
    <r>
      <rPr>
        <rFont val="FreeSans"/>
        <color theme="1"/>
        <sz val="11.0"/>
      </rPr>
      <t xml:space="preserve">ฟูลบอร์ด </t>
    </r>
    <r>
      <rPr>
        <rFont val="Calibri"/>
        <color theme="1"/>
        <sz val="11.0"/>
      </rPr>
      <t xml:space="preserve">3 </t>
    </r>
    <r>
      <rPr>
        <rFont val="FreeSans"/>
        <color theme="1"/>
        <sz val="11.0"/>
      </rPr>
      <t>มื้อ</t>
    </r>
  </si>
  <si>
    <t>⭐ บริการเสริม</t>
  </si>
  <si>
    <t xml:space="preserve">  - Ziarah Makkah</t>
  </si>
  <si>
    <t>ต้องการ</t>
  </si>
  <si>
    <t xml:space="preserve">  - Ziarah Madinah</t>
  </si>
  <si>
    <t xml:space="preserve">  - Ziarah Taif</t>
  </si>
  <si>
    <t>ไม่ต้องการ</t>
  </si>
  <si>
    <t xml:space="preserve">  - Al-Ula Tour</t>
  </si>
  <si>
    <r>
      <rPr>
        <rFont val="Calibri"/>
        <color theme="1"/>
        <sz val="11.0"/>
      </rPr>
      <t xml:space="preserve">  - Red Sea (</t>
    </r>
    <r>
      <rPr>
        <rFont val="FreeSans"/>
        <color theme="1"/>
        <sz val="11.0"/>
      </rPr>
      <t>ทะเลแดง</t>
    </r>
    <r>
      <rPr>
        <rFont val="Calibri"/>
        <color theme="1"/>
        <sz val="11.0"/>
      </rPr>
      <t>)</t>
    </r>
  </si>
  <si>
    <t xml:space="preserve">  - Jeddah City Tour</t>
  </si>
  <si>
    <t xml:space="preserve">  รวมบริการเสริม</t>
  </si>
  <si>
    <r>
      <rPr>
        <rFont val="FreeSans"/>
        <b/>
        <color rgb="FFFFFFFF"/>
        <sz val="14.0"/>
      </rPr>
      <t xml:space="preserve">💰 รวมต้นทุน </t>
    </r>
    <r>
      <rPr>
        <rFont val="Cambria"/>
        <b/>
        <color rgb="FFFFFFFF"/>
        <sz val="14.0"/>
      </rPr>
      <t>(</t>
    </r>
    <r>
      <rPr>
        <rFont val="FreeSans"/>
        <b/>
        <color rgb="FFFFFFFF"/>
        <sz val="14.0"/>
      </rPr>
      <t>ต่อคน</t>
    </r>
    <r>
      <rPr>
        <rFont val="Cambria"/>
        <b/>
        <color rgb="FFFFFFFF"/>
        <sz val="14.0"/>
      </rPr>
      <t>)</t>
    </r>
  </si>
  <si>
    <r>
      <rPr>
        <rFont val="FreeSans"/>
        <b/>
        <color rgb="FFC62828"/>
        <sz val="12.0"/>
      </rPr>
      <t xml:space="preserve">💰💰 รวมต้นทุน </t>
    </r>
    <r>
      <rPr>
        <rFont val="Cambria"/>
        <b/>
        <color rgb="FFC62828"/>
        <sz val="12.0"/>
      </rPr>
      <t>(</t>
    </r>
    <r>
      <rPr>
        <rFont val="FreeSans"/>
        <b/>
        <color rgb="FFC62828"/>
        <sz val="12.0"/>
      </rPr>
      <t>ทั้งกลุ่ม</t>
    </r>
    <r>
      <rPr>
        <rFont val="Cambria"/>
        <b/>
        <color rgb="FFC62828"/>
        <sz val="12.0"/>
      </rPr>
      <t>)</t>
    </r>
  </si>
  <si>
    <r>
      <rPr>
        <rFont val="FreeSans"/>
        <b/>
        <color rgb="FFFFFFFF"/>
        <sz val="12.0"/>
      </rPr>
      <t xml:space="preserve">📊 คำนวณราคาขาย </t>
    </r>
    <r>
      <rPr>
        <rFont val="Cambria"/>
        <b/>
        <color rgb="FFFFFFFF"/>
        <sz val="12.0"/>
      </rPr>
      <t>(</t>
    </r>
    <r>
      <rPr>
        <rFont val="FreeSans"/>
        <b/>
        <color rgb="FFFFFFFF"/>
        <sz val="12.0"/>
      </rPr>
      <t>ส่วนนี้ลูกค้าไม่เห็น</t>
    </r>
    <r>
      <rPr>
        <rFont val="Cambria"/>
        <b/>
        <color rgb="FFFFFFFF"/>
        <sz val="12.0"/>
      </rPr>
      <t>)</t>
    </r>
  </si>
  <si>
    <r>
      <rPr>
        <rFont val="FreeSans"/>
        <color theme="1"/>
        <sz val="11.0"/>
      </rPr>
      <t xml:space="preserve">อัตรากำไร </t>
    </r>
    <r>
      <rPr>
        <rFont val="Calibri"/>
        <color theme="1"/>
        <sz val="11.0"/>
      </rPr>
      <t>(%)</t>
    </r>
  </si>
  <si>
    <t>%</t>
  </si>
  <si>
    <t>ปัดเศษราคาขาย</t>
  </si>
  <si>
    <r>
      <rPr>
        <rFont val="FreeSans"/>
        <color rgb="FF666666"/>
        <sz val="9.0"/>
      </rPr>
      <t xml:space="preserve">บาท </t>
    </r>
    <r>
      <rPr>
        <rFont val="Cambria"/>
        <color rgb="FF666666"/>
        <sz val="9.0"/>
      </rPr>
      <t>(100, 500, 1000)</t>
    </r>
  </si>
  <si>
    <t>กำไรต่อคน</t>
  </si>
  <si>
    <t>บาท</t>
  </si>
  <si>
    <r>
      <rPr>
        <rFont val="FreeSans"/>
        <color theme="1"/>
        <sz val="11.0"/>
      </rPr>
      <t xml:space="preserve">ราคาขายต่อคน </t>
    </r>
    <r>
      <rPr>
        <rFont val="Calibri"/>
        <color theme="1"/>
        <sz val="11.0"/>
      </rPr>
      <t>(</t>
    </r>
    <r>
      <rPr>
        <rFont val="FreeSans"/>
        <color theme="1"/>
        <sz val="11.0"/>
      </rPr>
      <t>ก่อนปัด</t>
    </r>
    <r>
      <rPr>
        <rFont val="Calibri"/>
        <color theme="1"/>
        <sz val="11.0"/>
      </rPr>
      <t>)</t>
    </r>
  </si>
  <si>
    <r>
      <rPr>
        <rFont val="FreeSans"/>
        <b/>
        <color rgb="FFC62828"/>
        <sz val="11.0"/>
      </rPr>
      <t xml:space="preserve">💵 ราคาขายต่อคน </t>
    </r>
    <r>
      <rPr>
        <rFont val="Cambria"/>
        <b/>
        <color rgb="FFC62828"/>
        <sz val="11.0"/>
      </rPr>
      <t>(</t>
    </r>
    <r>
      <rPr>
        <rFont val="FreeSans"/>
        <b/>
        <color rgb="FFC62828"/>
        <sz val="11.0"/>
      </rPr>
      <t>ปัดแล้ว</t>
    </r>
    <r>
      <rPr>
        <rFont val="Cambria"/>
        <b/>
        <color rgb="FFC62828"/>
        <sz val="11.0"/>
      </rPr>
      <t>)</t>
    </r>
  </si>
  <si>
    <t>💵💵 ราคาขายทั้งกลุ่ม</t>
  </si>
  <si>
    <t>กำไรจริงทั้งกลุ่ม</t>
  </si>
  <si>
    <t>✈️ สายการบิน</t>
  </si>
  <si>
    <t>สายการบิน</t>
  </si>
  <si>
    <r>
      <rPr>
        <rFont val="FreeSans"/>
        <b/>
        <color theme="1"/>
        <sz val="11.0"/>
      </rPr>
      <t xml:space="preserve">ราคา </t>
    </r>
    <r>
      <rPr>
        <rFont val="Cambria"/>
        <b/>
        <color theme="1"/>
        <sz val="11.0"/>
      </rPr>
      <t>(</t>
    </r>
    <r>
      <rPr>
        <rFont val="FreeSans"/>
        <b/>
        <color theme="1"/>
        <sz val="11.0"/>
      </rPr>
      <t>บาท</t>
    </r>
    <r>
      <rPr>
        <rFont val="Cambria"/>
        <b/>
        <color theme="1"/>
        <sz val="11.0"/>
      </rPr>
      <t>)</t>
    </r>
  </si>
  <si>
    <t>Saudia</t>
  </si>
  <si>
    <t>Qatar Airways</t>
  </si>
  <si>
    <t>Bahrain Air</t>
  </si>
  <si>
    <t>Emirates</t>
  </si>
  <si>
    <r>
      <rPr>
        <rFont val="Calibri"/>
        <color theme="1"/>
        <sz val="11.0"/>
      </rPr>
      <t>Budget (</t>
    </r>
    <r>
      <rPr>
        <rFont val="FreeSans"/>
        <color theme="1"/>
        <sz val="11.0"/>
      </rPr>
      <t>ถูกสุด</t>
    </r>
    <r>
      <rPr>
        <rFont val="Calibri"/>
        <color theme="1"/>
        <sz val="11.0"/>
      </rPr>
      <t>)</t>
    </r>
  </si>
  <si>
    <t>ประเภท</t>
  </si>
  <si>
    <r>
      <rPr>
        <rFont val="FreeSans"/>
        <b/>
        <color theme="1"/>
        <sz val="11.0"/>
      </rPr>
      <t xml:space="preserve">ราคา </t>
    </r>
    <r>
      <rPr>
        <rFont val="Cambria"/>
        <b/>
        <color theme="1"/>
        <sz val="11.0"/>
      </rPr>
      <t>(</t>
    </r>
    <r>
      <rPr>
        <rFont val="FreeSans"/>
        <b/>
        <color theme="1"/>
        <sz val="11.0"/>
      </rPr>
      <t>บาท</t>
    </r>
    <r>
      <rPr>
        <rFont val="Cambria"/>
        <b/>
        <color theme="1"/>
        <sz val="11.0"/>
      </rPr>
      <t>)</t>
    </r>
  </si>
  <si>
    <t>ท่องเที่ยว</t>
  </si>
  <si>
    <t>ทำงาน</t>
  </si>
  <si>
    <t>ธุรกิจ</t>
  </si>
  <si>
    <r>
      <rPr>
        <rFont val="FreeSans"/>
        <b/>
        <color rgb="FF2E7D32"/>
        <sz val="12.0"/>
      </rPr>
      <t xml:space="preserve">🏨 โรงแรม </t>
    </r>
    <r>
      <rPr>
        <rFont val="Cambria"/>
        <b/>
        <color rgb="FF2E7D32"/>
        <sz val="12.0"/>
      </rPr>
      <t>(</t>
    </r>
    <r>
      <rPr>
        <rFont val="FreeSans"/>
        <b/>
        <color rgb="FF2E7D32"/>
        <sz val="12.0"/>
      </rPr>
      <t>ราคาต่อคืน</t>
    </r>
    <r>
      <rPr>
        <rFont val="Cambria"/>
        <b/>
        <color rgb="FF2E7D32"/>
        <sz val="12.0"/>
      </rPr>
      <t>)</t>
    </r>
  </si>
  <si>
    <t>ระดับ</t>
  </si>
  <si>
    <t>มักกะห์</t>
  </si>
  <si>
    <t>มาดีนะห์</t>
  </si>
  <si>
    <t>เจดดะห์</t>
  </si>
  <si>
    <t>ริยาด</t>
  </si>
  <si>
    <r>
      <rPr>
        <rFont val="Calibri"/>
        <color theme="1"/>
        <sz val="11.0"/>
      </rPr>
      <t xml:space="preserve">2 </t>
    </r>
    <r>
      <rPr>
        <rFont val="FreeSans"/>
        <color theme="1"/>
        <sz val="11.0"/>
      </rPr>
      <t>ดาว</t>
    </r>
  </si>
  <si>
    <r>
      <rPr>
        <rFont val="Calibri"/>
        <color theme="1"/>
        <sz val="11.0"/>
      </rPr>
      <t xml:space="preserve">3 </t>
    </r>
    <r>
      <rPr>
        <rFont val="FreeSans"/>
        <color theme="1"/>
        <sz val="11.0"/>
      </rPr>
      <t>ดาว</t>
    </r>
  </si>
  <si>
    <r>
      <rPr>
        <rFont val="Calibri"/>
        <color theme="1"/>
        <sz val="11.0"/>
      </rPr>
      <t xml:space="preserve">4 </t>
    </r>
    <r>
      <rPr>
        <rFont val="FreeSans"/>
        <color theme="1"/>
        <sz val="11.0"/>
      </rPr>
      <t>ดาว</t>
    </r>
  </si>
  <si>
    <r>
      <rPr>
        <rFont val="Calibri"/>
        <color theme="1"/>
        <sz val="11.0"/>
      </rPr>
      <t xml:space="preserve">5 </t>
    </r>
    <r>
      <rPr>
        <rFont val="FreeSans"/>
        <color theme="1"/>
        <sz val="11.0"/>
      </rPr>
      <t>ดาว</t>
    </r>
  </si>
  <si>
    <r>
      <rPr>
        <rFont val="FreeSans"/>
        <b/>
        <color rgb="FF2E7D32"/>
        <sz val="12.0"/>
      </rPr>
      <t xml:space="preserve">🚐 รถ </t>
    </r>
    <r>
      <rPr>
        <rFont val="Cambria"/>
        <b/>
        <color rgb="FF2E7D32"/>
        <sz val="12.0"/>
      </rPr>
      <t>(</t>
    </r>
    <r>
      <rPr>
        <rFont val="FreeSans"/>
        <b/>
        <color rgb="FF2E7D32"/>
        <sz val="12.0"/>
      </rPr>
      <t>ราคาต่อวัน</t>
    </r>
    <r>
      <rPr>
        <rFont val="Cambria"/>
        <b/>
        <color rgb="FF2E7D32"/>
        <sz val="12.0"/>
      </rPr>
      <t>)</t>
    </r>
  </si>
  <si>
    <r>
      <rPr>
        <rFont val="FreeSans"/>
        <b/>
        <color theme="1"/>
        <sz val="11.0"/>
      </rPr>
      <t xml:space="preserve">ราคา </t>
    </r>
    <r>
      <rPr>
        <rFont val="Cambria"/>
        <b/>
        <color theme="1"/>
        <sz val="11.0"/>
      </rPr>
      <t>(</t>
    </r>
    <r>
      <rPr>
        <rFont val="FreeSans"/>
        <b/>
        <color theme="1"/>
        <sz val="11.0"/>
      </rPr>
      <t>บาท</t>
    </r>
    <r>
      <rPr>
        <rFont val="Cambria"/>
        <b/>
        <color theme="1"/>
        <sz val="11.0"/>
      </rPr>
      <t>)</t>
    </r>
  </si>
  <si>
    <r>
      <rPr>
        <rFont val="FreeSans"/>
        <color theme="1"/>
        <sz val="11.0"/>
      </rPr>
      <t xml:space="preserve">รถตู้ </t>
    </r>
    <r>
      <rPr>
        <rFont val="Calibri"/>
        <color theme="1"/>
        <sz val="11.0"/>
      </rPr>
      <t>VIP</t>
    </r>
  </si>
  <si>
    <t>รถตู้ธรรมดา</t>
  </si>
  <si>
    <t>รถมินิบัส</t>
  </si>
  <si>
    <t>รถบัส</t>
  </si>
  <si>
    <t>รถเก๋ง</t>
  </si>
  <si>
    <r>
      <rPr>
        <rFont val="FreeSans"/>
        <b/>
        <color rgb="FF2E7D32"/>
        <sz val="12.0"/>
      </rPr>
      <t xml:space="preserve">👨‍🏫 ไกด์ </t>
    </r>
    <r>
      <rPr>
        <rFont val="Cambria"/>
        <b/>
        <color rgb="FF2E7D32"/>
        <sz val="12.0"/>
      </rPr>
      <t>(</t>
    </r>
    <r>
      <rPr>
        <rFont val="FreeSans"/>
        <b/>
        <color rgb="FF2E7D32"/>
        <sz val="12.0"/>
      </rPr>
      <t>ราคาต่อวัน</t>
    </r>
    <r>
      <rPr>
        <rFont val="Cambria"/>
        <b/>
        <color rgb="FF2E7D32"/>
        <sz val="12.0"/>
      </rPr>
      <t>)</t>
    </r>
  </si>
  <si>
    <t>เฉพาะมักกะห์</t>
  </si>
  <si>
    <t>เฉพาะมาดีนะห์</t>
  </si>
  <si>
    <t>เฉพาะเจดดะห์</t>
  </si>
  <si>
    <r>
      <rPr>
        <rFont val="FreeSans"/>
        <b/>
        <color rgb="FF2E7D32"/>
        <sz val="12.0"/>
      </rPr>
      <t xml:space="preserve">🍽️ อาหาร </t>
    </r>
    <r>
      <rPr>
        <rFont val="Cambria"/>
        <b/>
        <color rgb="FF2E7D32"/>
        <sz val="12.0"/>
      </rPr>
      <t>(</t>
    </r>
    <r>
      <rPr>
        <rFont val="FreeSans"/>
        <b/>
        <color rgb="FF2E7D32"/>
        <sz val="12.0"/>
      </rPr>
      <t>ราคาต่อวัน</t>
    </r>
    <r>
      <rPr>
        <rFont val="Cambria"/>
        <b/>
        <color rgb="FF2E7D32"/>
        <sz val="12.0"/>
      </rPr>
      <t>)</t>
    </r>
  </si>
  <si>
    <r>
      <rPr>
        <rFont val="FreeSans"/>
        <b/>
        <color theme="1"/>
        <sz val="11.0"/>
      </rPr>
      <t xml:space="preserve">ราคา </t>
    </r>
    <r>
      <rPr>
        <rFont val="Cambria"/>
        <b/>
        <color theme="1"/>
        <sz val="11.0"/>
      </rPr>
      <t>(</t>
    </r>
    <r>
      <rPr>
        <rFont val="FreeSans"/>
        <b/>
        <color theme="1"/>
        <sz val="11.0"/>
      </rPr>
      <t>บาท</t>
    </r>
    <r>
      <rPr>
        <rFont val="Cambria"/>
        <b/>
        <color theme="1"/>
        <sz val="11.0"/>
      </rPr>
      <t>)</t>
    </r>
  </si>
  <si>
    <r>
      <rPr>
        <rFont val="FreeSans"/>
        <color theme="1"/>
        <sz val="11.0"/>
      </rPr>
      <t xml:space="preserve">ฟูลบอร์ด </t>
    </r>
    <r>
      <rPr>
        <rFont val="Calibri"/>
        <color theme="1"/>
        <sz val="11.0"/>
      </rPr>
      <t xml:space="preserve">3 </t>
    </r>
    <r>
      <rPr>
        <rFont val="FreeSans"/>
        <color theme="1"/>
        <sz val="11.0"/>
      </rPr>
      <t>มื้อ</t>
    </r>
  </si>
  <si>
    <r>
      <rPr>
        <rFont val="Calibri"/>
        <color theme="1"/>
        <sz val="11.0"/>
      </rPr>
      <t xml:space="preserve">2 </t>
    </r>
    <r>
      <rPr>
        <rFont val="FreeSans"/>
        <color theme="1"/>
        <sz val="11.0"/>
      </rPr>
      <t xml:space="preserve">มื้อ </t>
    </r>
    <r>
      <rPr>
        <rFont val="Calibri"/>
        <color theme="1"/>
        <sz val="11.0"/>
      </rPr>
      <t>(</t>
    </r>
    <r>
      <rPr>
        <rFont val="FreeSans"/>
        <color theme="1"/>
        <sz val="11.0"/>
      </rPr>
      <t>เช้า</t>
    </r>
    <r>
      <rPr>
        <rFont val="Calibri"/>
        <color theme="1"/>
        <sz val="11.0"/>
      </rPr>
      <t>-</t>
    </r>
    <r>
      <rPr>
        <rFont val="FreeSans"/>
        <color theme="1"/>
        <sz val="11.0"/>
      </rPr>
      <t>เย็น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</si>
  <si>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 xml:space="preserve">1 </t>
    </r>
    <r>
      <rPr>
        <rFont val="FreeSans"/>
        <color theme="1"/>
        <sz val="11.0"/>
      </rPr>
      <t xml:space="preserve">มื้อ </t>
    </r>
    <r>
      <rPr>
        <rFont val="Calibri"/>
        <color theme="1"/>
        <sz val="11.0"/>
      </rPr>
      <t>(</t>
    </r>
    <r>
      <rPr>
        <rFont val="FreeSans"/>
        <color theme="1"/>
        <sz val="11.0"/>
      </rPr>
      <t>เช้า</t>
    </r>
    <r>
      <rPr>
        <rFont val="Calibri"/>
        <color theme="1"/>
        <sz val="11.0"/>
      </rPr>
      <t>)</t>
    </r>
  </si>
  <si>
    <r>
      <rPr>
        <rFont val="FreeSans"/>
        <color theme="1"/>
        <sz val="11.0"/>
      </rPr>
      <t xml:space="preserve">ซื้อเอง </t>
    </r>
    <r>
      <rPr>
        <rFont val="Calibri"/>
        <color theme="1"/>
        <sz val="11.0"/>
      </rPr>
      <t>(</t>
    </r>
    <r>
      <rPr>
        <rFont val="FreeSans"/>
        <color theme="1"/>
        <sz val="11.0"/>
      </rPr>
      <t>ไม่รวม</t>
    </r>
    <r>
      <rPr>
        <rFont val="Calibri"/>
        <color theme="1"/>
        <sz val="11.0"/>
      </rPr>
      <t>)</t>
    </r>
  </si>
  <si>
    <r>
      <rPr>
        <rFont val="FreeSans"/>
        <b/>
        <color theme="1"/>
        <sz val="11.0"/>
      </rPr>
      <t xml:space="preserve">ราคา </t>
    </r>
    <r>
      <rPr>
        <rFont val="Cambria"/>
        <b/>
        <color theme="1"/>
        <sz val="11.0"/>
      </rPr>
      <t>(</t>
    </r>
    <r>
      <rPr>
        <rFont val="FreeSans"/>
        <b/>
        <color theme="1"/>
        <sz val="11.0"/>
      </rPr>
      <t>บาท</t>
    </r>
    <r>
      <rPr>
        <rFont val="Cambria"/>
        <b/>
        <color theme="1"/>
        <sz val="11.0"/>
      </rPr>
      <t>)</t>
    </r>
  </si>
  <si>
    <t>Ziarah Makkah</t>
  </si>
  <si>
    <t>Ziarah Madinah</t>
  </si>
  <si>
    <t>Ziarah Taif</t>
  </si>
  <si>
    <t>Al-Ula Tour</t>
  </si>
  <si>
    <r>
      <rPr>
        <rFont val="Calibri"/>
        <color theme="1"/>
        <sz val="11.0"/>
      </rPr>
      <t>Red Sea (</t>
    </r>
    <r>
      <rPr>
        <rFont val="FreeSans"/>
        <color theme="1"/>
        <sz val="11.0"/>
      </rPr>
      <t>ทะเลแดง</t>
    </r>
    <r>
      <rPr>
        <rFont val="Calibri"/>
        <color theme="1"/>
        <sz val="11.0"/>
      </rPr>
      <t>)</t>
    </r>
  </si>
  <si>
    <t>Jeddah City Tour</t>
  </si>
  <si>
    <t>🕌 ใบเสนอราคาแพคเกจท่องเที่ยว</t>
  </si>
  <si>
    <t>Zam Zam Travel Package</t>
  </si>
  <si>
    <r>
      <rPr>
        <rFont val="FreeSans"/>
        <color theme="1"/>
        <sz val="11.0"/>
      </rPr>
      <t xml:space="preserve">บริษัท </t>
    </r>
    <r>
      <rPr>
        <rFont val="Calibri"/>
        <color theme="1"/>
        <sz val="11.0"/>
      </rPr>
      <t xml:space="preserve">............................ </t>
    </r>
    <r>
      <rPr>
        <rFont val="FreeSans"/>
        <color theme="1"/>
        <sz val="11.0"/>
      </rPr>
      <t>จำกัด</t>
    </r>
  </si>
  <si>
    <r>
      <rPr>
        <rFont val="FreeSans"/>
        <color rgb="FF666666"/>
        <sz val="10.0"/>
      </rPr>
      <t>โทร</t>
    </r>
    <r>
      <rPr>
        <rFont val="Cambria"/>
        <color rgb="FF666666"/>
        <sz val="10.0"/>
      </rPr>
      <t>: ................ | Line: ................</t>
    </r>
  </si>
  <si>
    <t>📅 รายละเอียดการเดินทาง</t>
  </si>
  <si>
    <t>ระยะเวลา</t>
  </si>
  <si>
    <t>✨ รายการที่รวมในแพคเกจ</t>
  </si>
  <si>
    <t>🏨 ที่พัก</t>
  </si>
  <si>
    <t>🚐 รถรับส่ง</t>
  </si>
  <si>
    <r>
      <rPr>
        <rFont val="FreeSans"/>
        <b/>
        <color rgb="FF2E7D32"/>
        <sz val="14.0"/>
      </rPr>
      <t xml:space="preserve">⭐ บริการเสริม </t>
    </r>
    <r>
      <rPr>
        <rFont val="Cambria"/>
        <b/>
        <color rgb="FF2E7D32"/>
        <sz val="14.0"/>
      </rPr>
      <t>(Ziarah &amp; Tours)</t>
    </r>
  </si>
  <si>
    <t>โปรแกรมพิเศษ</t>
  </si>
  <si>
    <t>💰 ราคาแพคเกจ</t>
  </si>
  <si>
    <t>💵 ราคาแพคเกจต่อท่าน</t>
  </si>
  <si>
    <t>💵💵 ราคารวมทั้งกลุ่ม</t>
  </si>
  <si>
    <t>📝 หมายเหตุ</t>
  </si>
  <si>
    <t>• ราคานี้ยังไม่รวมค่าใช้จ่ายส่วนตัว</t>
  </si>
  <si>
    <t>• ราคาอาจเปลี่ยนแปลงตามฤดูกาลและอัตราแลกเปลี่ยน</t>
  </si>
  <si>
    <r>
      <rPr>
        <rFont val="FreeSans"/>
        <color rgb="FF666666"/>
        <sz val="10.0"/>
      </rPr>
      <t xml:space="preserve">• กรุณาสำรองที่นั่งล่วงหน้าอย่างน้อย </t>
    </r>
    <r>
      <rPr>
        <rFont val="Cambria"/>
        <color rgb="FF666666"/>
        <sz val="10.0"/>
      </rPr>
      <t xml:space="preserve">30 </t>
    </r>
    <r>
      <rPr>
        <rFont val="FreeSans"/>
        <color rgb="FF666666"/>
        <sz val="10.0"/>
      </rPr>
      <t>วัน</t>
    </r>
  </si>
  <si>
    <r>
      <rPr>
        <rFont val="FreeSans"/>
        <color rgb="FF666666"/>
        <sz val="10.0"/>
      </rPr>
      <t xml:space="preserve">• ชำระมัดจำ </t>
    </r>
    <r>
      <rPr>
        <rFont val="Cambria"/>
        <color rgb="FF666666"/>
        <sz val="10.0"/>
      </rPr>
      <t xml:space="preserve">30% </t>
    </r>
    <r>
      <rPr>
        <rFont val="FreeSans"/>
        <color rgb="FF666666"/>
        <sz val="10.0"/>
      </rPr>
      <t>เพื่อยืนยันการจอง</t>
    </r>
  </si>
  <si>
    <t>ขอบคุณที่ไว้วางใจใช้บริการ 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</si>
</sst>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 บาท&quot;"/>
  </numFmts>
  <fonts count="29">
    <font>
      <sz val="11.0"/>
      <color rgb="FF000000"/>
      <name val="Arial"/>
      <scheme val="minor"/>
    </font>
    <font>
      <b/>
      <sz val="18.0"/>
      <color rgb="FF2E7D32"/>
      <name val="Cambria"/>
    </font>
    <font>
      <b/>
      <sz val="12.0"/>
      <color rgb="FF2E7D32"/>
      <name val="FreeSans"/>
    </font>
    <font>
      <sz val="11.0"/>
      <color theme="1"/>
      <name val="FreeSans"/>
    </font>
    <font>
      <sz val="11.0"/>
      <color theme="1"/>
      <name val="Calibri"/>
    </font>
    <font>
      <b/>
      <sz val="14.0"/>
      <color rgb="FFFFFFFF"/>
      <name val="FreeSans"/>
    </font>
    <font>
      <b/>
      <sz val="11.0"/>
      <color theme="1"/>
      <name val="Cambria"/>
    </font>
    <font/>
    <font>
      <b/>
      <sz val="14.0"/>
      <color rgb="FFFFFFFF"/>
      <name val="Cambria"/>
    </font>
    <font>
      <b/>
      <sz val="12.0"/>
      <color rgb="FFC62828"/>
      <name val="FreeSans"/>
    </font>
    <font>
      <b/>
      <sz val="12.0"/>
      <color rgb="FFC62828"/>
      <name val="Cambria"/>
    </font>
    <font>
      <b/>
      <sz val="12.0"/>
      <color rgb="FFFFFFFF"/>
      <name val="FreeSans"/>
    </font>
    <font>
      <sz val="9.0"/>
      <color rgb="FF666666"/>
      <name val="FreeSans"/>
    </font>
    <font>
      <b/>
      <sz val="11.0"/>
      <color rgb="FFC62828"/>
      <name val="FreeSans"/>
    </font>
    <font>
      <b/>
      <sz val="14.0"/>
      <color rgb="FFC62828"/>
      <name val="Cambria"/>
    </font>
    <font>
      <b/>
      <sz val="11.0"/>
      <color rgb="FFFFFFFF"/>
      <name val="FreeSans"/>
    </font>
    <font>
      <sz val="11.0"/>
      <color rgb="FFFFFFFF"/>
      <name val="FreeSans"/>
    </font>
    <font>
      <b/>
      <sz val="11.0"/>
      <color rgb="FF2E7D32"/>
      <name val="Cambria"/>
    </font>
    <font>
      <b/>
      <sz val="11.0"/>
      <color theme="1"/>
      <name val="FreeSans"/>
    </font>
    <font>
      <color theme="1"/>
      <name val="Arial"/>
      <scheme val="minor"/>
    </font>
    <font>
      <b/>
      <sz val="20.0"/>
      <color rgb="FF1B5E20"/>
      <name val="FreeSans"/>
    </font>
    <font>
      <i/>
      <sz val="12.0"/>
      <color rgb="FF666666"/>
      <name val="Cambria"/>
    </font>
    <font>
      <sz val="10.0"/>
      <color rgb="FF666666"/>
      <name val="FreeSans"/>
    </font>
    <font>
      <b/>
      <sz val="14.0"/>
      <color rgb="FF2E7D32"/>
      <name val="FreeSans"/>
    </font>
    <font>
      <b/>
      <sz val="14.0"/>
      <color theme="1"/>
      <name val="FreeSans"/>
    </font>
    <font>
      <b/>
      <sz val="16.0"/>
      <color rgb="FFC62828"/>
      <name val="Cambria"/>
    </font>
    <font>
      <b/>
      <sz val="16.0"/>
      <color rgb="FFFFFFFF"/>
      <name val="FreeSans"/>
    </font>
    <font>
      <b/>
      <sz val="16.0"/>
      <color rgb="FFFFFFFF"/>
      <name val="Cambria"/>
    </font>
    <font>
      <i/>
      <sz val="12.0"/>
      <color rgb="FF2E7D32"/>
      <name val="FreeSans"/>
    </font>
  </fonts>
  <fills count="9">
    <fill>
      <patternFill patternType="none"/>
    </fill>
    <fill>
      <patternFill patternType="lightGray"/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  <fill>
      <patternFill patternType="solid">
        <fgColor rgb="FFFFF3E0"/>
        <bgColor rgb="FFFFF3E0"/>
      </patternFill>
    </fill>
    <fill>
      <patternFill patternType="solid">
        <fgColor rgb="FFFF9800"/>
        <bgColor rgb="FFFF9800"/>
      </patternFill>
    </fill>
    <fill>
      <patternFill patternType="solid">
        <fgColor rgb="FFFFCDD2"/>
        <bgColor rgb="FFFFCDD2"/>
      </patternFill>
    </fill>
    <fill>
      <patternFill patternType="solid">
        <fgColor rgb="FF5D4037"/>
        <bgColor rgb="FF5D4037"/>
      </patternFill>
    </fill>
    <fill>
      <patternFill patternType="solid">
        <fgColor rgb="FFC62828"/>
        <bgColor rgb="FFC6282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bottom style="medium">
        <color rgb="FF2E7D32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3" fontId="5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4" numFmtId="3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4" fontId="6" numFmtId="3" xfId="0" applyAlignment="1" applyBorder="1" applyFill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5" fontId="5" numFmtId="0" xfId="0" applyAlignment="1" applyBorder="1" applyFill="1" applyFont="1">
      <alignment horizontal="right" shrinkToFit="0" vertical="bottom" wrapText="0"/>
    </xf>
    <xf borderId="3" fillId="0" fontId="7" numFmtId="0" xfId="0" applyBorder="1" applyFont="1"/>
    <xf borderId="4" fillId="0" fontId="7" numFmtId="0" xfId="0" applyBorder="1" applyFont="1"/>
    <xf borderId="1" fillId="5" fontId="8" numFmtId="3" xfId="0" applyAlignment="1" applyBorder="1" applyFont="1" applyNumberFormat="1">
      <alignment shrinkToFit="0" vertical="bottom" wrapText="0"/>
    </xf>
    <xf borderId="2" fillId="6" fontId="9" numFmtId="0" xfId="0" applyAlignment="1" applyBorder="1" applyFill="1" applyFont="1">
      <alignment horizontal="right" shrinkToFit="0" vertical="bottom" wrapText="0"/>
    </xf>
    <xf borderId="1" fillId="6" fontId="10" numFmtId="3" xfId="0" applyAlignment="1" applyBorder="1" applyFont="1" applyNumberFormat="1">
      <alignment shrinkToFit="0" vertical="bottom" wrapText="0"/>
    </xf>
    <xf borderId="5" fillId="7" fontId="11" numFmtId="0" xfId="0" applyAlignment="1" applyBorder="1" applyFill="1" applyFont="1">
      <alignment shrinkToFit="0" vertical="bottom" wrapText="0"/>
    </xf>
    <xf borderId="6" fillId="0" fontId="7" numFmtId="0" xfId="0" applyBorder="1" applyFont="1"/>
    <xf borderId="0" fillId="0" fontId="4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7" fillId="4" fontId="14" numFmtId="3" xfId="0" applyAlignment="1" applyBorder="1" applyFont="1" applyNumberFormat="1">
      <alignment shrinkToFit="0" vertical="bottom" wrapText="0"/>
    </xf>
    <xf borderId="7" fillId="8" fontId="15" numFmtId="0" xfId="0" applyAlignment="1" applyBorder="1" applyFill="1" applyFont="1">
      <alignment shrinkToFit="0" vertical="bottom" wrapText="0"/>
    </xf>
    <xf borderId="7" fillId="8" fontId="8" numFmtId="3" xfId="0" applyAlignment="1" applyBorder="1" applyFont="1" applyNumberFormat="1">
      <alignment shrinkToFit="0" vertical="bottom" wrapText="0"/>
    </xf>
    <xf borderId="7" fillId="8" fontId="16" numFmtId="0" xfId="0" applyAlignment="1" applyBorder="1" applyFont="1">
      <alignment shrinkToFit="0" vertical="bottom" wrapText="0"/>
    </xf>
    <xf borderId="0" fillId="0" fontId="17" numFmtId="3" xfId="0" applyAlignment="1" applyFont="1" applyNumberForma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Font="1"/>
    <xf borderId="0" fillId="0" fontId="4" numFmtId="3" xfId="0" applyAlignment="1" applyFont="1" applyNumberFormat="1">
      <alignment readingOrder="0" shrinkToFit="0" vertical="bottom" wrapText="0"/>
    </xf>
    <xf borderId="0" fillId="0" fontId="20" numFmtId="0" xfId="0" applyAlignment="1" applyFont="1">
      <alignment horizontal="center" shrinkToFit="0" vertical="bottom" wrapText="0"/>
    </xf>
    <xf borderId="0" fillId="0" fontId="2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center" shrinkToFit="0" vertical="bottom" wrapText="0"/>
    </xf>
    <xf borderId="8" fillId="0" fontId="23" numFmtId="0" xfId="0" applyAlignment="1" applyBorder="1" applyFont="1">
      <alignment shrinkToFit="0" vertical="bottom" wrapText="0"/>
    </xf>
    <xf borderId="8" fillId="0" fontId="7" numFmtId="0" xfId="0" applyBorder="1" applyFont="1"/>
    <xf borderId="0" fillId="0" fontId="4" numFmtId="0" xfId="0" applyAlignment="1" applyFont="1">
      <alignment shrinkToFit="0" vertical="top" wrapText="1"/>
    </xf>
    <xf borderId="2" fillId="4" fontId="24" numFmtId="0" xfId="0" applyAlignment="1" applyBorder="1" applyFont="1">
      <alignment horizontal="right" shrinkToFit="0" vertical="bottom" wrapText="0"/>
    </xf>
    <xf borderId="1" fillId="4" fontId="25" numFmtId="164" xfId="0" applyAlignment="1" applyBorder="1" applyFont="1" applyNumberFormat="1">
      <alignment shrinkToFit="0" vertical="bottom" wrapText="0"/>
    </xf>
    <xf borderId="2" fillId="3" fontId="26" numFmtId="0" xfId="0" applyAlignment="1" applyBorder="1" applyFont="1">
      <alignment horizontal="right" shrinkToFit="0" vertical="bottom" wrapText="0"/>
    </xf>
    <xf borderId="1" fillId="3" fontId="27" numFmtId="164" xfId="0" applyAlignment="1" applyBorder="1" applyFont="1" applyNumberForma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8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0.0"/>
    <col customWidth="1" min="3" max="4" width="15.0"/>
    <col customWidth="1" min="5" max="5" width="18.0"/>
    <col customWidth="1" min="6" max="6" width="15.0"/>
    <col customWidth="1" min="7" max="26" width="14.38"/>
  </cols>
  <sheetData>
    <row r="1">
      <c r="A1" s="1" t="s">
        <v>0</v>
      </c>
    </row>
    <row r="3">
      <c r="A3" s="2" t="s">
        <v>1</v>
      </c>
    </row>
    <row r="4">
      <c r="A4" s="3" t="s">
        <v>2</v>
      </c>
      <c r="B4" s="4"/>
    </row>
    <row r="5">
      <c r="A5" s="3" t="s">
        <v>3</v>
      </c>
      <c r="B5" s="4"/>
    </row>
    <row r="6">
      <c r="A6" s="3" t="s">
        <v>4</v>
      </c>
      <c r="B6" s="4">
        <v>7.0</v>
      </c>
    </row>
    <row r="7">
      <c r="A7" s="3" t="s">
        <v>5</v>
      </c>
      <c r="B7" s="4">
        <v>6.0</v>
      </c>
    </row>
    <row r="8">
      <c r="A8" s="3" t="s">
        <v>6</v>
      </c>
      <c r="B8" s="5">
        <v>2.0</v>
      </c>
    </row>
    <row r="10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</row>
    <row r="11">
      <c r="A11" s="7" t="s">
        <v>13</v>
      </c>
      <c r="B11" s="5" t="s">
        <v>14</v>
      </c>
      <c r="C11" s="5">
        <v>2.0</v>
      </c>
      <c r="D11" s="8">
        <f>VLOOKUP(B11,'Price List'!A5:B10,2,FALSE())</f>
        <v>14000</v>
      </c>
      <c r="E11" s="8">
        <f t="shared" ref="E11:E16" si="1">C11*D11</f>
        <v>28000</v>
      </c>
      <c r="F11" s="9" t="s">
        <v>15</v>
      </c>
    </row>
    <row r="12">
      <c r="A12" s="7" t="s">
        <v>16</v>
      </c>
      <c r="B12" s="10" t="s">
        <v>17</v>
      </c>
      <c r="C12" s="5">
        <v>2.0</v>
      </c>
      <c r="D12" s="8">
        <f>VLOOKUP(B12,'Price List'!A14:B17,2,FALSE())</f>
        <v>6500</v>
      </c>
      <c r="E12" s="8">
        <f t="shared" si="1"/>
        <v>13000</v>
      </c>
      <c r="F12" s="9"/>
    </row>
    <row r="13">
      <c r="A13" s="9" t="s">
        <v>18</v>
      </c>
      <c r="B13" s="4" t="s">
        <v>19</v>
      </c>
      <c r="C13" s="4">
        <v>3.0</v>
      </c>
      <c r="D13" s="8">
        <f>VLOOKUP(B13,'Price List'!A22:E25,2,FALSE())</f>
        <v>1500</v>
      </c>
      <c r="E13" s="8">
        <f t="shared" si="1"/>
        <v>4500</v>
      </c>
      <c r="F13" s="9" t="s">
        <v>20</v>
      </c>
    </row>
    <row r="14">
      <c r="A14" s="9" t="s">
        <v>21</v>
      </c>
      <c r="B14" s="4" t="s">
        <v>22</v>
      </c>
      <c r="C14" s="4">
        <v>3.0</v>
      </c>
      <c r="D14" s="8">
        <f>VLOOKUP(B14,'Price List'!A22:E25,3,FALSE())</f>
        <v>1200</v>
      </c>
      <c r="E14" s="8">
        <f t="shared" si="1"/>
        <v>3600</v>
      </c>
      <c r="F14" s="9" t="s">
        <v>20</v>
      </c>
    </row>
    <row r="15">
      <c r="A15" s="9" t="s">
        <v>23</v>
      </c>
      <c r="B15" s="4" t="s">
        <v>24</v>
      </c>
      <c r="C15" s="4">
        <v>0.0</v>
      </c>
      <c r="D15" s="8">
        <f>VLOOKUP(B15,'Price List'!A22:E25,4,FALSE())</f>
        <v>2200</v>
      </c>
      <c r="E15" s="8">
        <f t="shared" si="1"/>
        <v>0</v>
      </c>
      <c r="F15" s="9" t="s">
        <v>20</v>
      </c>
    </row>
    <row r="16">
      <c r="A16" s="9" t="s">
        <v>25</v>
      </c>
      <c r="B16" s="4" t="s">
        <v>26</v>
      </c>
      <c r="C16" s="4">
        <v>0.0</v>
      </c>
      <c r="D16" s="8">
        <f>VLOOKUP(B16,'Price List'!A22:E25,5,FALSE())</f>
        <v>2500</v>
      </c>
      <c r="E16" s="8">
        <f t="shared" si="1"/>
        <v>0</v>
      </c>
      <c r="F16" s="9" t="s">
        <v>20</v>
      </c>
    </row>
    <row r="17">
      <c r="A17" s="9" t="s">
        <v>27</v>
      </c>
      <c r="B17" s="9"/>
      <c r="C17" s="9"/>
      <c r="D17" s="9"/>
      <c r="E17" s="11">
        <f>SUM(E13:E16)</f>
        <v>8100</v>
      </c>
      <c r="F17" s="9"/>
    </row>
    <row r="18">
      <c r="A18" s="7" t="s">
        <v>28</v>
      </c>
      <c r="B18" s="10" t="s">
        <v>29</v>
      </c>
      <c r="C18" s="4">
        <v>7.0</v>
      </c>
      <c r="D18" s="8">
        <f>VLOOKUP(B18,'Price List'!A30:B34,2,FALSE())</f>
        <v>3500</v>
      </c>
      <c r="E18" s="8">
        <f t="shared" ref="E18:E20" si="2">C18*D18</f>
        <v>24500</v>
      </c>
      <c r="F18" s="9" t="s">
        <v>30</v>
      </c>
    </row>
    <row r="19">
      <c r="A19" s="7" t="s">
        <v>31</v>
      </c>
      <c r="B19" s="10" t="s">
        <v>32</v>
      </c>
      <c r="C19" s="5">
        <v>1.0</v>
      </c>
      <c r="D19" s="8">
        <f>VLOOKUP(B19,'Price List'!A38:B42,2,FALSE())</f>
        <v>20000</v>
      </c>
      <c r="E19" s="8">
        <f t="shared" si="2"/>
        <v>20000</v>
      </c>
      <c r="F19" s="9" t="s">
        <v>30</v>
      </c>
    </row>
    <row r="20">
      <c r="A20" s="7" t="s">
        <v>33</v>
      </c>
      <c r="B20" s="10" t="s">
        <v>34</v>
      </c>
      <c r="C20" s="4">
        <v>7.0</v>
      </c>
      <c r="D20" s="8">
        <f>VLOOKUP(B20,'Price List'!A46:B49,2,FALSE())</f>
        <v>800</v>
      </c>
      <c r="E20" s="8">
        <f t="shared" si="2"/>
        <v>5600</v>
      </c>
      <c r="F20" s="9" t="s">
        <v>30</v>
      </c>
    </row>
    <row r="21" ht="15.75" customHeight="1">
      <c r="A21" s="7" t="s">
        <v>35</v>
      </c>
      <c r="B21" s="9"/>
      <c r="C21" s="9"/>
      <c r="D21" s="9"/>
      <c r="E21" s="9"/>
      <c r="F21" s="9"/>
    </row>
    <row r="22" ht="15.75" customHeight="1">
      <c r="A22" s="12" t="s">
        <v>36</v>
      </c>
      <c r="B22" s="10" t="s">
        <v>37</v>
      </c>
      <c r="C22" s="4">
        <v>1.0</v>
      </c>
      <c r="D22" s="8">
        <f>'Price List'!B53</f>
        <v>1500</v>
      </c>
      <c r="E22" s="8">
        <f t="shared" ref="E22:E27" si="3">IF(B22="ต้องการ",C22*D22,0)</f>
        <v>1500</v>
      </c>
      <c r="F22" s="12"/>
    </row>
    <row r="23" ht="15.75" customHeight="1">
      <c r="A23" s="12" t="s">
        <v>38</v>
      </c>
      <c r="B23" s="10" t="s">
        <v>37</v>
      </c>
      <c r="C23" s="4">
        <v>1.0</v>
      </c>
      <c r="D23" s="8">
        <f>'Price List'!B54</f>
        <v>1500</v>
      </c>
      <c r="E23" s="8">
        <f t="shared" si="3"/>
        <v>1500</v>
      </c>
      <c r="F23" s="12"/>
    </row>
    <row r="24" ht="15.75" customHeight="1">
      <c r="A24" s="12" t="s">
        <v>39</v>
      </c>
      <c r="B24" s="10" t="s">
        <v>40</v>
      </c>
      <c r="C24" s="4">
        <v>0.0</v>
      </c>
      <c r="D24" s="8">
        <f>'Price List'!B55</f>
        <v>2500</v>
      </c>
      <c r="E24" s="8">
        <f t="shared" si="3"/>
        <v>0</v>
      </c>
      <c r="F24" s="12"/>
    </row>
    <row r="25" ht="15.75" customHeight="1">
      <c r="A25" s="12" t="s">
        <v>41</v>
      </c>
      <c r="B25" s="10" t="s">
        <v>40</v>
      </c>
      <c r="C25" s="4">
        <v>0.0</v>
      </c>
      <c r="D25" s="8">
        <f>'Price List'!B56</f>
        <v>8000</v>
      </c>
      <c r="E25" s="8">
        <f t="shared" si="3"/>
        <v>0</v>
      </c>
      <c r="F25" s="12"/>
    </row>
    <row r="26" ht="15.75" customHeight="1">
      <c r="A26" s="12" t="s">
        <v>42</v>
      </c>
      <c r="B26" s="10" t="s">
        <v>40</v>
      </c>
      <c r="C26" s="4">
        <v>0.0</v>
      </c>
      <c r="D26" s="8">
        <f>'Price List'!B57</f>
        <v>5000</v>
      </c>
      <c r="E26" s="8">
        <f t="shared" si="3"/>
        <v>0</v>
      </c>
      <c r="F26" s="12"/>
    </row>
    <row r="27" ht="15.75" customHeight="1">
      <c r="A27" s="12" t="s">
        <v>43</v>
      </c>
      <c r="B27" s="10" t="s">
        <v>40</v>
      </c>
      <c r="C27" s="4">
        <v>0.0</v>
      </c>
      <c r="D27" s="8">
        <f>'Price List'!B58</f>
        <v>2000</v>
      </c>
      <c r="E27" s="8">
        <f t="shared" si="3"/>
        <v>0</v>
      </c>
      <c r="F27" s="12"/>
    </row>
    <row r="28" ht="15.75" customHeight="1">
      <c r="A28" s="9" t="s">
        <v>44</v>
      </c>
      <c r="B28" s="12"/>
      <c r="C28" s="12"/>
      <c r="D28" s="12"/>
      <c r="E28" s="11">
        <f>SUM(E22:E27)</f>
        <v>3000</v>
      </c>
      <c r="F28" s="12"/>
    </row>
    <row r="29" ht="15.75" customHeight="1"/>
    <row r="30" ht="15.75" customHeight="1">
      <c r="A30" s="13" t="s">
        <v>45</v>
      </c>
      <c r="B30" s="14"/>
      <c r="C30" s="14"/>
      <c r="D30" s="15"/>
      <c r="E30" s="16">
        <f>E11+E12+E17+E18+E19+E20+E28/B8</f>
        <v>100700</v>
      </c>
    </row>
    <row r="31" ht="15.75" customHeight="1">
      <c r="A31" s="17" t="s">
        <v>46</v>
      </c>
      <c r="B31" s="14"/>
      <c r="C31" s="14"/>
      <c r="D31" s="15"/>
      <c r="E31" s="18">
        <f>E30*B8</f>
        <v>201400</v>
      </c>
    </row>
    <row r="32" ht="15.75" customHeight="1"/>
    <row r="33" ht="15.75" customHeight="1">
      <c r="A33" s="19" t="s">
        <v>47</v>
      </c>
      <c r="B33" s="20"/>
      <c r="C33" s="20"/>
      <c r="D33" s="20"/>
      <c r="E33" s="20"/>
      <c r="F33" s="20"/>
    </row>
    <row r="34" ht="15.75" customHeight="1">
      <c r="A34" s="3" t="s">
        <v>48</v>
      </c>
      <c r="B34" s="4">
        <v>10.0</v>
      </c>
      <c r="C34" s="21" t="s">
        <v>49</v>
      </c>
    </row>
    <row r="35" ht="15.75" customHeight="1">
      <c r="A35" s="3" t="s">
        <v>50</v>
      </c>
      <c r="B35" s="4">
        <v>100.0</v>
      </c>
      <c r="C35" s="22" t="s">
        <v>51</v>
      </c>
    </row>
    <row r="36" ht="15.75" customHeight="1">
      <c r="A36" s="3" t="s">
        <v>52</v>
      </c>
      <c r="B36" s="23">
        <f>E30*(B34/100)</f>
        <v>10070</v>
      </c>
      <c r="C36" s="3" t="s">
        <v>53</v>
      </c>
    </row>
    <row r="37" ht="15.75" customHeight="1">
      <c r="A37" s="3" t="s">
        <v>54</v>
      </c>
      <c r="B37" s="23">
        <f>E30*(1+B34/100)</f>
        <v>110770</v>
      </c>
      <c r="C37" s="3" t="s">
        <v>53</v>
      </c>
    </row>
    <row r="38" ht="15.75" customHeight="1">
      <c r="A38" s="24" t="s">
        <v>55</v>
      </c>
      <c r="B38" s="25">
        <f>CEILING(E30*(1+B34/100),B35)</f>
        <v>110800</v>
      </c>
      <c r="C38" s="3" t="s">
        <v>53</v>
      </c>
    </row>
    <row r="39" ht="15.75" customHeight="1">
      <c r="A39" s="26" t="s">
        <v>56</v>
      </c>
      <c r="B39" s="27">
        <f>B38*B8</f>
        <v>221600</v>
      </c>
      <c r="C39" s="28" t="s">
        <v>53</v>
      </c>
    </row>
    <row r="40" ht="15.75" customHeight="1">
      <c r="A40" s="3" t="s">
        <v>57</v>
      </c>
      <c r="B40" s="29">
        <f>B39-E31</f>
        <v>20200</v>
      </c>
      <c r="C40" s="3" t="s">
        <v>53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30:D30"/>
    <mergeCell ref="A31:D31"/>
    <mergeCell ref="A33:F33"/>
  </mergeCells>
  <dataValidations>
    <dataValidation type="list" allowBlank="1" sqref="B19">
      <formula1>"ฟูลทริป,เฉพาะมักกะห์,เฉพาะมาดีนะห์,เฉพาะเจดดะห์,ไม่ต้องการ"</formula1>
    </dataValidation>
    <dataValidation type="list" allowBlank="1" sqref="B20">
      <formula1>"ฟูลบอร์ด 3 มื้อ,2 มื้อ (เช้า-เย็น),1 มื้อ (เช้า),ซื้อเอง (ไม่รวม)"</formula1>
    </dataValidation>
    <dataValidation type="list" allowBlank="1" sqref="B18">
      <formula1>"รถตู้ VIP,รถตู้ธรรมดา,รถมินิบัส,รถบัส,รถเก๋ง"</formula1>
    </dataValidation>
    <dataValidation type="list" allowBlank="1" sqref="B13:B16">
      <formula1>"2 ดาว,3 ดาว,4 ดาว,5 ดาว"</formula1>
    </dataValidation>
    <dataValidation type="list" allowBlank="1" sqref="B22:B27">
      <formula1>"ต้องการ,ไม่ต้องการ"</formula1>
    </dataValidation>
    <dataValidation type="list" allowBlank="1" sqref="B12">
      <formula1>"อุมเราะห์,ท่องเที่ยว,ทำงาน,ธุรกิจ"</formula1>
    </dataValidation>
    <dataValidation type="list" allowBlank="1" sqref="B11">
      <formula1>"Saudia,Qatar Airways,Gulf Air,Bahrain Air,Emirates,Budget (ถูกสุด)"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5.0"/>
    <col customWidth="1" min="6" max="6" width="8.75"/>
    <col customWidth="1" min="7" max="26" width="14.38"/>
  </cols>
  <sheetData>
    <row r="3">
      <c r="A3" s="2" t="s">
        <v>58</v>
      </c>
    </row>
    <row r="4">
      <c r="A4" s="30" t="s">
        <v>59</v>
      </c>
      <c r="B4" s="30" t="s">
        <v>60</v>
      </c>
    </row>
    <row r="5">
      <c r="A5" s="31" t="s">
        <v>61</v>
      </c>
      <c r="B5" s="23">
        <v>15000.0</v>
      </c>
    </row>
    <row r="6">
      <c r="A6" s="31" t="s">
        <v>62</v>
      </c>
      <c r="B6" s="23">
        <v>18000.0</v>
      </c>
    </row>
    <row r="7">
      <c r="A7" s="31" t="s">
        <v>14</v>
      </c>
      <c r="B7" s="23">
        <v>14000.0</v>
      </c>
    </row>
    <row r="8">
      <c r="A8" s="31" t="s">
        <v>63</v>
      </c>
      <c r="B8" s="23">
        <v>13000.0</v>
      </c>
    </row>
    <row r="9">
      <c r="A9" s="31" t="s">
        <v>64</v>
      </c>
      <c r="B9" s="23">
        <v>20000.0</v>
      </c>
    </row>
    <row r="10">
      <c r="A10" s="31" t="s">
        <v>65</v>
      </c>
      <c r="B10" s="23">
        <v>12000.0</v>
      </c>
    </row>
    <row r="12">
      <c r="A12" s="2" t="s">
        <v>16</v>
      </c>
    </row>
    <row r="13">
      <c r="A13" s="30" t="s">
        <v>66</v>
      </c>
      <c r="B13" s="30" t="s">
        <v>67</v>
      </c>
    </row>
    <row r="14">
      <c r="A14" s="3" t="s">
        <v>17</v>
      </c>
      <c r="B14" s="32">
        <v>6500.0</v>
      </c>
    </row>
    <row r="15">
      <c r="A15" s="3" t="s">
        <v>68</v>
      </c>
      <c r="B15" s="32">
        <v>4500.0</v>
      </c>
    </row>
    <row r="16">
      <c r="A16" s="3" t="s">
        <v>69</v>
      </c>
      <c r="B16" s="23">
        <v>5000.0</v>
      </c>
    </row>
    <row r="17">
      <c r="A17" s="3" t="s">
        <v>70</v>
      </c>
      <c r="B17" s="23">
        <v>4500.0</v>
      </c>
    </row>
    <row r="20">
      <c r="A20" s="2" t="s">
        <v>71</v>
      </c>
    </row>
    <row r="21" ht="15.75" customHeight="1">
      <c r="A21" s="30" t="s">
        <v>72</v>
      </c>
      <c r="B21" s="30" t="s">
        <v>73</v>
      </c>
      <c r="C21" s="30" t="s">
        <v>74</v>
      </c>
      <c r="D21" s="30" t="s">
        <v>75</v>
      </c>
      <c r="E21" s="30" t="s">
        <v>76</v>
      </c>
    </row>
    <row r="22" ht="15.75" customHeight="1">
      <c r="A22" s="31" t="s">
        <v>77</v>
      </c>
      <c r="B22" s="23">
        <v>800.0</v>
      </c>
      <c r="C22" s="23">
        <v>700.0</v>
      </c>
      <c r="D22" s="23">
        <v>900.0</v>
      </c>
      <c r="E22" s="23">
        <v>1000.0</v>
      </c>
    </row>
    <row r="23" ht="15.75" customHeight="1">
      <c r="A23" s="31" t="s">
        <v>78</v>
      </c>
      <c r="B23" s="23">
        <v>1500.0</v>
      </c>
      <c r="C23" s="23">
        <v>1200.0</v>
      </c>
      <c r="D23" s="23">
        <v>1400.0</v>
      </c>
      <c r="E23" s="23">
        <v>1600.0</v>
      </c>
    </row>
    <row r="24" ht="15.75" customHeight="1">
      <c r="A24" s="31" t="s">
        <v>79</v>
      </c>
      <c r="B24" s="23">
        <v>2500.0</v>
      </c>
      <c r="C24" s="23">
        <v>2000.0</v>
      </c>
      <c r="D24" s="23">
        <v>2200.0</v>
      </c>
      <c r="E24" s="23">
        <v>2500.0</v>
      </c>
    </row>
    <row r="25" ht="15.75" customHeight="1">
      <c r="A25" s="31" t="s">
        <v>80</v>
      </c>
      <c r="B25" s="23">
        <v>5000.0</v>
      </c>
      <c r="C25" s="23">
        <v>4000.0</v>
      </c>
      <c r="D25" s="23">
        <v>4500.0</v>
      </c>
      <c r="E25" s="23">
        <v>5500.0</v>
      </c>
    </row>
    <row r="26" ht="15.75" customHeight="1"/>
    <row r="27" ht="15.75" customHeight="1"/>
    <row r="28" ht="15.75" customHeight="1">
      <c r="A28" s="2" t="s">
        <v>81</v>
      </c>
    </row>
    <row r="29" ht="15.75" customHeight="1">
      <c r="A29" s="30" t="s">
        <v>66</v>
      </c>
      <c r="B29" s="30" t="s">
        <v>82</v>
      </c>
    </row>
    <row r="30" ht="15.75" customHeight="1">
      <c r="A30" s="3" t="s">
        <v>83</v>
      </c>
      <c r="B30" s="23">
        <v>3500.0</v>
      </c>
    </row>
    <row r="31" ht="15.75" customHeight="1">
      <c r="A31" s="3" t="s">
        <v>84</v>
      </c>
      <c r="B31" s="23">
        <v>2500.0</v>
      </c>
    </row>
    <row r="32" ht="15.75" customHeight="1">
      <c r="A32" s="3" t="s">
        <v>85</v>
      </c>
      <c r="B32" s="23">
        <v>4500.0</v>
      </c>
    </row>
    <row r="33" ht="15.75" customHeight="1">
      <c r="A33" s="3" t="s">
        <v>86</v>
      </c>
      <c r="B33" s="23">
        <v>6000.0</v>
      </c>
    </row>
    <row r="34" ht="15.75" customHeight="1">
      <c r="A34" s="3" t="s">
        <v>87</v>
      </c>
      <c r="B34" s="23">
        <v>2000.0</v>
      </c>
    </row>
    <row r="35" ht="15.75" customHeight="1"/>
    <row r="36" ht="15.75" customHeight="1"/>
    <row r="37" ht="15.75" customHeight="1">
      <c r="A37" s="2" t="s">
        <v>88</v>
      </c>
    </row>
    <row r="38" ht="15.75" customHeight="1">
      <c r="A38" s="3" t="s">
        <v>32</v>
      </c>
      <c r="B38" s="32">
        <v>20000.0</v>
      </c>
    </row>
    <row r="39" ht="15.75" customHeight="1">
      <c r="A39" s="3" t="s">
        <v>89</v>
      </c>
      <c r="B39" s="23">
        <v>2000.0</v>
      </c>
    </row>
    <row r="40" ht="15.75" customHeight="1">
      <c r="A40" s="3" t="s">
        <v>90</v>
      </c>
      <c r="B40" s="23">
        <v>2000.0</v>
      </c>
    </row>
    <row r="41" ht="15.75" customHeight="1">
      <c r="A41" s="3" t="s">
        <v>91</v>
      </c>
      <c r="B41" s="23">
        <v>2000.0</v>
      </c>
    </row>
    <row r="42" ht="15.75" customHeight="1">
      <c r="A42" s="3" t="s">
        <v>40</v>
      </c>
      <c r="B42" s="23">
        <v>0.0</v>
      </c>
    </row>
    <row r="43" ht="15.75" customHeight="1"/>
    <row r="44" ht="15.75" customHeight="1">
      <c r="A44" s="2" t="s">
        <v>92</v>
      </c>
    </row>
    <row r="45" ht="15.75" customHeight="1">
      <c r="A45" s="30" t="s">
        <v>8</v>
      </c>
      <c r="B45" s="30" t="s">
        <v>93</v>
      </c>
    </row>
    <row r="46" ht="15.75" customHeight="1">
      <c r="A46" s="3" t="s">
        <v>94</v>
      </c>
      <c r="B46" s="23">
        <v>800.0</v>
      </c>
    </row>
    <row r="47" ht="15.75" customHeight="1">
      <c r="A47" s="31" t="s">
        <v>95</v>
      </c>
      <c r="B47" s="23">
        <v>600.0</v>
      </c>
    </row>
    <row r="48" ht="15.75" customHeight="1">
      <c r="A48" s="31" t="s">
        <v>96</v>
      </c>
      <c r="B48" s="23">
        <v>300.0</v>
      </c>
    </row>
    <row r="49" ht="15.75" customHeight="1">
      <c r="A49" s="3" t="s">
        <v>97</v>
      </c>
      <c r="B49" s="23">
        <v>0.0</v>
      </c>
    </row>
    <row r="50" ht="15.75" customHeight="1"/>
    <row r="51" ht="15.75" customHeight="1">
      <c r="A51" s="2" t="s">
        <v>35</v>
      </c>
    </row>
    <row r="52" ht="15.75" customHeight="1">
      <c r="A52" s="30" t="s">
        <v>7</v>
      </c>
      <c r="B52" s="30" t="s">
        <v>98</v>
      </c>
    </row>
    <row r="53" ht="15.75" customHeight="1">
      <c r="A53" s="31" t="s">
        <v>99</v>
      </c>
      <c r="B53" s="23">
        <v>1500.0</v>
      </c>
    </row>
    <row r="54" ht="15.75" customHeight="1">
      <c r="A54" s="31" t="s">
        <v>100</v>
      </c>
      <c r="B54" s="23">
        <v>1500.0</v>
      </c>
    </row>
    <row r="55" ht="15.75" customHeight="1">
      <c r="A55" s="31" t="s">
        <v>101</v>
      </c>
      <c r="B55" s="23">
        <v>2500.0</v>
      </c>
    </row>
    <row r="56" ht="15.75" customHeight="1">
      <c r="A56" s="31" t="s">
        <v>102</v>
      </c>
      <c r="B56" s="23">
        <v>8000.0</v>
      </c>
    </row>
    <row r="57" ht="15.75" customHeight="1">
      <c r="A57" s="31" t="s">
        <v>103</v>
      </c>
      <c r="B57" s="23">
        <v>5000.0</v>
      </c>
    </row>
    <row r="58" ht="15.75" customHeight="1">
      <c r="A58" s="31" t="s">
        <v>104</v>
      </c>
      <c r="B58" s="23">
        <v>2000.0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5.0"/>
    <col customWidth="1" min="3" max="3" width="30.0"/>
    <col customWidth="1" min="4" max="4" width="18.0"/>
    <col customWidth="1" min="5" max="5" width="5.0"/>
    <col customWidth="1" min="6" max="6" width="8.75"/>
    <col customWidth="1" min="7" max="26" width="14.38"/>
  </cols>
  <sheetData>
    <row r="2">
      <c r="B2" s="33" t="s">
        <v>105</v>
      </c>
    </row>
    <row r="3">
      <c r="B3" s="34" t="s">
        <v>106</v>
      </c>
    </row>
    <row r="5">
      <c r="B5" s="35" t="s">
        <v>107</v>
      </c>
    </row>
    <row r="6">
      <c r="B6" s="36" t="s">
        <v>108</v>
      </c>
    </row>
    <row r="8">
      <c r="B8" s="37" t="s">
        <v>109</v>
      </c>
      <c r="C8" s="38"/>
      <c r="D8" s="38"/>
    </row>
    <row r="9">
      <c r="B9" s="30" t="s">
        <v>2</v>
      </c>
      <c r="C9" s="31" t="str">
        <f>Calculator!B4</f>
        <v/>
      </c>
    </row>
    <row r="10">
      <c r="B10" s="30" t="s">
        <v>3</v>
      </c>
      <c r="C10" s="31" t="str">
        <f>Calculator!B5</f>
        <v/>
      </c>
    </row>
    <row r="11">
      <c r="B11" s="30" t="s">
        <v>110</v>
      </c>
      <c r="C11" s="31" t="str">
        <f>Calculator!B6&amp;" วัน "&amp;Calculator!B7&amp;" คืน"</f>
        <v>7 วัน 6 คืน</v>
      </c>
    </row>
    <row r="12">
      <c r="B12" s="30" t="s">
        <v>6</v>
      </c>
      <c r="C12" s="31" t="str">
        <f>Calculator!B8&amp;" ท่าน"</f>
        <v>2 ท่าน</v>
      </c>
    </row>
    <row r="14">
      <c r="B14" s="37" t="s">
        <v>111</v>
      </c>
      <c r="C14" s="38"/>
      <c r="D14" s="38"/>
    </row>
    <row r="15">
      <c r="B15" s="30" t="s">
        <v>13</v>
      </c>
      <c r="C15" s="31" t="str">
        <f>Calculator!B11&amp;" (ไป-กลับ)"</f>
        <v>Gulf Air (ไป-กลับ)</v>
      </c>
    </row>
    <row r="16">
      <c r="B16" s="30" t="s">
        <v>16</v>
      </c>
      <c r="C16" s="31" t="str">
        <f>"วีซ่า "&amp;Calculator!B12</f>
        <v>วีซ่า อุมเราะห์</v>
      </c>
    </row>
    <row r="17">
      <c r="B17" s="30" t="s">
        <v>112</v>
      </c>
      <c r="C17" s="31" t="str">
        <f>IF(Calculator!C13&gt;0,Calculator!B13&amp;" "&amp;Calculator!C13&amp;" คืน (มักกะห์)","")&amp;IF(AND(Calculator!C13&gt;0,Calculator!C14&gt;0),", ","")&amp;IF(Calculator!C14&gt;0,Calculator!B14&amp;" "&amp;Calculator!C14&amp;" คืน (มาดีนะห์)","")&amp;IF(AND(OR(Calculator!C13&gt;0,Calculator!C14&gt;0),Calculator!C15&gt;0),", ","")&amp;IF(Calculator!C15&gt;0,Calculator!B15&amp;" "&amp;Calculator!C15&amp;" คืน (เจดดะห์)","")&amp;IF(AND(OR(Calculator!C13&gt;0,Calculator!C14&gt;0,Calculator!C15&gt;0),Calculator!C16&gt;0),", ","")&amp;IF(Calculator!C16&gt;0,Calculator!B16&amp;" "&amp;Calculator!C16&amp;" คืน (ริยาด)","")</f>
        <v>3 ดาว 3 คืน (มักกะห์), 3 ดาว 3 คืน (มาดีนะห์)</v>
      </c>
    </row>
    <row r="18">
      <c r="B18" s="30" t="s">
        <v>113</v>
      </c>
      <c r="C18" s="31" t="str">
        <f>Calculator!B18&amp;" ("&amp;Calculator!C18&amp;" วัน)"</f>
        <v>รถตู้ VIP (7 วัน)</v>
      </c>
    </row>
    <row r="19">
      <c r="B19" s="30" t="s">
        <v>31</v>
      </c>
      <c r="C19" s="31" t="str">
        <f>IF(Calculator!B19="ไม่ต้องการ","ไม่รวม",Calculator!B19&amp;" ("&amp;Calculator!C19&amp;" วัน)")</f>
        <v>ฟูลทริป (1 วัน)</v>
      </c>
    </row>
    <row r="20">
      <c r="B20" s="30" t="s">
        <v>33</v>
      </c>
      <c r="C20" s="31" t="str">
        <f>IF(Calculator!B20="ซื้อเอง (ไม่รวม)","ไม่รวม",Calculator!B20&amp;" ("&amp;Calculator!C20&amp;" วัน)")</f>
        <v>ฟูลบอร์ด 3 มื้อ (7 วัน)</v>
      </c>
    </row>
    <row r="21" ht="15.75" customHeight="1"/>
    <row r="22" ht="15.75" customHeight="1">
      <c r="B22" s="37" t="s">
        <v>114</v>
      </c>
      <c r="C22" s="38"/>
      <c r="D22" s="38"/>
    </row>
    <row r="23" ht="79.5" customHeight="1">
      <c r="B23" s="30" t="s">
        <v>115</v>
      </c>
      <c r="C23" s="39" t="str">
        <f>IF(Calculator!B22="ต้องการ","• Ziarah Makkah","")&amp;IF(Calculator!B23="ต้องการ",CHAR(10)&amp;"• Ziarah Madinah","")&amp;IF(Calculator!B24="ต้องการ",CHAR(10)&amp;"• Ziarah Taif","")&amp;IF(Calculator!B25="ต้องการ",CHAR(10)&amp;"• Al-Ula Tour","")&amp;IF(Calculator!B26="ต้องการ",CHAR(10)&amp;"• Red Sea (ทะเลแดง)","")&amp;IF(Calculator!B27="ต้องการ",CHAR(10)&amp;"• Jeddah City Tour","")</f>
        <v>• Ziarah Makkah
• Ziarah Madinah</v>
      </c>
    </row>
    <row r="24" ht="15.75" customHeight="1"/>
    <row r="25" ht="15.75" customHeight="1"/>
    <row r="26" ht="15.75" customHeight="1">
      <c r="B26" s="37" t="s">
        <v>116</v>
      </c>
      <c r="C26" s="38"/>
      <c r="D26" s="38"/>
    </row>
    <row r="27" ht="15.75" customHeight="1"/>
    <row r="28" ht="15.75" customHeight="1">
      <c r="B28" s="40" t="s">
        <v>117</v>
      </c>
      <c r="C28" s="15"/>
      <c r="D28" s="41">
        <f>Calculator!B38</f>
        <v>110800</v>
      </c>
    </row>
    <row r="29" ht="15.75" customHeight="1">
      <c r="B29" s="42" t="s">
        <v>118</v>
      </c>
      <c r="C29" s="15"/>
      <c r="D29" s="43">
        <f>Calculator!B39</f>
        <v>221600</v>
      </c>
    </row>
    <row r="30" ht="15.75" customHeight="1"/>
    <row r="31" ht="15.75" customHeight="1">
      <c r="B31" s="37" t="s">
        <v>119</v>
      </c>
      <c r="C31" s="38"/>
      <c r="D31" s="38"/>
    </row>
    <row r="32" ht="15.75" customHeight="1">
      <c r="B32" s="44" t="s">
        <v>120</v>
      </c>
    </row>
    <row r="33" ht="15.75" customHeight="1">
      <c r="B33" s="44" t="s">
        <v>121</v>
      </c>
    </row>
    <row r="34" ht="15.75" customHeight="1">
      <c r="B34" s="44" t="s">
        <v>122</v>
      </c>
    </row>
    <row r="35" ht="15.75" customHeight="1">
      <c r="B35" s="44" t="s">
        <v>123</v>
      </c>
    </row>
    <row r="36" ht="15.75" customHeight="1"/>
    <row r="37" ht="15.75" customHeight="1">
      <c r="B37" s="45" t="s">
        <v>124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D2"/>
    <mergeCell ref="B3:D3"/>
    <mergeCell ref="B5:D5"/>
    <mergeCell ref="B6:D6"/>
    <mergeCell ref="B8:D8"/>
    <mergeCell ref="B14:D14"/>
    <mergeCell ref="B22:D22"/>
    <mergeCell ref="B35:D35"/>
    <mergeCell ref="B37:D37"/>
    <mergeCell ref="B26:D26"/>
    <mergeCell ref="B28:C28"/>
    <mergeCell ref="B29:C29"/>
    <mergeCell ref="B31:D31"/>
    <mergeCell ref="B32:D32"/>
    <mergeCell ref="B33:D33"/>
    <mergeCell ref="B34:D34"/>
  </mergeCells>
  <printOptions/>
  <pageMargins bottom="1.0" footer="0.0" header="0.0" left="0.75" right="0.75" top="1.0"/>
  <pageSetup paperSize="9" orientation="portrait"/>
  <drawing r:id="rId1"/>
</worksheet>
</file>